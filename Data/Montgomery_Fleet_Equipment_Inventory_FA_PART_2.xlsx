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ar\OneDrive\Desktop\Personal\"/>
    </mc:Choice>
  </mc:AlternateContent>
  <xr:revisionPtr revIDLastSave="0" documentId="8_{1A8E4238-F3D8-4B32-85E9-727E29E3D6F0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2" i="1" l="1"/>
  <c r="C55" i="1"/>
  <c r="C56" i="1"/>
  <c r="C53" i="1"/>
  <c r="C54" i="1"/>
</calcChain>
</file>

<file path=xl/sharedStrings.xml><?xml version="1.0" encoding="utf-8"?>
<sst xmlns="http://schemas.openxmlformats.org/spreadsheetml/2006/main" count="167" uniqueCount="38">
  <si>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</si>
  <si>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</si>
  <si>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</si>
  <si>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</si>
  <si>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</si>
  <si>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</si>
  <si>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</si>
  <si>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</si>
  <si>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</si>
  <si>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</si>
  <si>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</si>
  <si>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</si>
  <si>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</si>
  <si>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</si>
  <si>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</si>
  <si>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</si>
  <si>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</si>
  <si>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</si>
  <si>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</si>
  <si>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</si>
  <si>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</si>
  <si>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</si>
  <si>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</si>
  <si>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</si>
  <si>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</si>
  <si>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</si>
  <si>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</si>
  <si>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</si>
  <si>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</si>
  <si>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</si>
  <si>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COUNT</t>
  </si>
  <si>
    <t>AVERAGE</t>
  </si>
  <si>
    <t>MIN</t>
  </si>
  <si>
    <t>MAX</t>
  </si>
  <si>
    <t>Etichette di riga</t>
  </si>
  <si>
    <t>Totale complessivo</t>
  </si>
  <si>
    <t>Somma di Equipment Count</t>
  </si>
  <si>
    <t>Somma di Equipment Count2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</si>
</sst>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3" fillId="33" borderId="9" xfId="17" applyFont="1" applyFill="1"/>
    <xf numFmtId="0" fontId="18" fillId="33" borderId="9" xfId="17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/>
    <xf numFmtId="0" fontId="0" fillId="0" borderId="0" xfId="0" applyAlignment="1">
      <alignment horizontal="left" indent="1"/>
    </xf>
    <xf numFmtId="0" fontId="0" fillId="0" borderId="0" xfId="0" applyFont="1" applyAlignment="1">
      <alignment horizontal="left"/>
    </xf>
    <xf numFmtId="0" fontId="0" fillId="0" borderId="0" xfId="0" applyNumberFormat="1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6">
    <dxf>
      <font>
        <u/>
      </font>
    </dxf>
    <dxf>
      <font>
        <u val="none"/>
      </font>
    </dxf>
    <dxf>
      <font>
        <u val="none"/>
      </font>
    </dxf>
    <dxf>
      <font>
        <u val="none"/>
      </font>
    </dxf>
    <dxf>
      <font>
        <u/>
      </font>
    </dxf>
    <dxf>
      <font>
        <u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[Montgomery_Fleet_Equipment_Inventory_FA_PART_2_END.xlsx]Pivot Table 1!Tabella pivot1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Somma di Equipment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1'!$A$2:$A$14</c:f>
              <c:strCache>
                <c:ptCount val="12"/>
                <c:pt idx="0">
                  <c:v>Transportation</c:v>
                </c:pt>
                <c:pt idx="1">
                  <c:v>Permitting Services</c:v>
                </c:pt>
                <c:pt idx="2">
                  <c:v>Sheriffs Office</c:v>
                </c:pt>
                <c:pt idx="3">
                  <c:v>Liquor Control</c:v>
                </c:pt>
                <c:pt idx="4">
                  <c:v>Housing and Community Affairs</c:v>
                </c:pt>
                <c:pt idx="5">
                  <c:v>Recreation</c:v>
                </c:pt>
                <c:pt idx="6">
                  <c:v>Technology Services</c:v>
                </c:pt>
                <c:pt idx="7">
                  <c:v>Libraries</c:v>
                </c:pt>
                <c:pt idx="8">
                  <c:v>State Attorneys Office</c:v>
                </c:pt>
                <c:pt idx="9">
                  <c:v>Human Rights</c:v>
                </c:pt>
                <c:pt idx="10">
                  <c:v>Office Of Homeland Security</c:v>
                </c:pt>
                <c:pt idx="11">
                  <c:v>Public Information Office</c:v>
                </c:pt>
              </c:strCache>
            </c:strRef>
          </c:cat>
          <c:val>
            <c:numRef>
              <c:f>'Pivot Table 1'!$B$2:$B$14</c:f>
              <c:numCache>
                <c:formatCode>General</c:formatCode>
                <c:ptCount val="12"/>
                <c:pt idx="0">
                  <c:v>1221</c:v>
                </c:pt>
                <c:pt idx="1">
                  <c:v>109</c:v>
                </c:pt>
                <c:pt idx="2">
                  <c:v>85</c:v>
                </c:pt>
                <c:pt idx="3">
                  <c:v>56</c:v>
                </c:pt>
                <c:pt idx="4">
                  <c:v>45</c:v>
                </c:pt>
                <c:pt idx="5">
                  <c:v>35</c:v>
                </c:pt>
                <c:pt idx="6">
                  <c:v>16</c:v>
                </c:pt>
                <c:pt idx="7">
                  <c:v>6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2-4109-89F3-BC1CE01B63EA}"/>
            </c:ext>
          </c:extLst>
        </c:ser>
        <c:ser>
          <c:idx val="1"/>
          <c:order val="1"/>
          <c:tx>
            <c:strRef>
              <c:f>'Pivot Table 1'!$C$1</c:f>
              <c:strCache>
                <c:ptCount val="1"/>
                <c:pt idx="0">
                  <c:v>Somma di Equipment Count2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1'!$A$2:$A$14</c:f>
              <c:strCache>
                <c:ptCount val="12"/>
                <c:pt idx="0">
                  <c:v>Transportation</c:v>
                </c:pt>
                <c:pt idx="1">
                  <c:v>Permitting Services</c:v>
                </c:pt>
                <c:pt idx="2">
                  <c:v>Sheriffs Office</c:v>
                </c:pt>
                <c:pt idx="3">
                  <c:v>Liquor Control</c:v>
                </c:pt>
                <c:pt idx="4">
                  <c:v>Housing and Community Affairs</c:v>
                </c:pt>
                <c:pt idx="5">
                  <c:v>Recreation</c:v>
                </c:pt>
                <c:pt idx="6">
                  <c:v>Technology Services</c:v>
                </c:pt>
                <c:pt idx="7">
                  <c:v>Libraries</c:v>
                </c:pt>
                <c:pt idx="8">
                  <c:v>State Attorneys Office</c:v>
                </c:pt>
                <c:pt idx="9">
                  <c:v>Human Rights</c:v>
                </c:pt>
                <c:pt idx="10">
                  <c:v>Office Of Homeland Security</c:v>
                </c:pt>
                <c:pt idx="11">
                  <c:v>Public Information Office</c:v>
                </c:pt>
              </c:strCache>
            </c:strRef>
          </c:cat>
          <c:val>
            <c:numRef>
              <c:f>'Pivot Table 1'!$C$2:$C$14</c:f>
              <c:numCache>
                <c:formatCode>General</c:formatCode>
                <c:ptCount val="12"/>
                <c:pt idx="0">
                  <c:v>1221</c:v>
                </c:pt>
                <c:pt idx="1">
                  <c:v>109</c:v>
                </c:pt>
                <c:pt idx="2">
                  <c:v>85</c:v>
                </c:pt>
                <c:pt idx="3">
                  <c:v>56</c:v>
                </c:pt>
                <c:pt idx="4">
                  <c:v>45</c:v>
                </c:pt>
                <c:pt idx="5">
                  <c:v>35</c:v>
                </c:pt>
                <c:pt idx="6">
                  <c:v>16</c:v>
                </c:pt>
                <c:pt idx="7">
                  <c:v>6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42-4109-89F3-BC1CE01B6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257711"/>
        <c:axId val="1552259631"/>
      </c:barChart>
      <c:catAx>
        <c:axId val="155225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2259631"/>
        <c:crosses val="autoZero"/>
        <c:auto val="1"/>
        <c:lblAlgn val="ctr"/>
        <c:lblOffset val="100"/>
        <c:noMultiLvlLbl val="0"/>
      </c:catAx>
      <c:valAx>
        <c:axId val="155225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225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[Montgomery_Fleet_Equipment_Inventory_FA_PART_2_END.xlsx]Pivot Table 2!Tabella pivot2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 2'!$A$2:$A$24</c:f>
              <c:multiLvlStrCache>
                <c:ptCount val="20"/>
                <c:lvl>
                  <c:pt idx="0">
                    <c:v>Van</c:v>
                  </c:pt>
                  <c:pt idx="1">
                    <c:v>Transit Bus</c:v>
                  </c:pt>
                  <c:pt idx="2">
                    <c:v>SUV</c:v>
                  </c:pt>
                  <c:pt idx="3">
                    <c:v>Sedan</c:v>
                  </c:pt>
                  <c:pt idx="4">
                    <c:v>Pick Up Trucks</c:v>
                  </c:pt>
                  <c:pt idx="5">
                    <c:v>Off Road Vehicle Equipment</c:v>
                  </c:pt>
                  <c:pt idx="6">
                    <c:v>Medium Duty</c:v>
                  </c:pt>
                  <c:pt idx="7">
                    <c:v>Heavy Duty</c:v>
                  </c:pt>
                  <c:pt idx="8">
                    <c:v>CUV</c:v>
                  </c:pt>
                  <c:pt idx="18">
                    <c:v>SUV</c:v>
                  </c:pt>
                </c:lvl>
                <c:lvl>
                  <c:pt idx="0">
                    <c:v>Transportation</c:v>
                  </c:pt>
                  <c:pt idx="9">
                    <c:v>Permitting Services</c:v>
                  </c:pt>
                  <c:pt idx="10">
                    <c:v>Sheriffs Office</c:v>
                  </c:pt>
                  <c:pt idx="11">
                    <c:v>Liquor Control</c:v>
                  </c:pt>
                  <c:pt idx="12">
                    <c:v>Housing and Community Affairs</c:v>
                  </c:pt>
                  <c:pt idx="13">
                    <c:v>Recreation</c:v>
                  </c:pt>
                  <c:pt idx="14">
                    <c:v>Technology Services</c:v>
                  </c:pt>
                  <c:pt idx="15">
                    <c:v>Libraries</c:v>
                  </c:pt>
                  <c:pt idx="16">
                    <c:v>State Attorneys Office</c:v>
                  </c:pt>
                  <c:pt idx="17">
                    <c:v>Human Rights</c:v>
                  </c:pt>
                  <c:pt idx="18">
                    <c:v>Office Of Homeland Security</c:v>
                  </c:pt>
                  <c:pt idx="19">
                    <c:v>Public Information Office</c:v>
                  </c:pt>
                </c:lvl>
              </c:multiLvlStrCache>
            </c:multiLvlStrRef>
          </c:cat>
          <c:val>
            <c:numRef>
              <c:f>'Pivot Table 2'!$B$2:$B$24</c:f>
              <c:numCache>
                <c:formatCode>General</c:formatCode>
                <c:ptCount val="20"/>
                <c:pt idx="0">
                  <c:v>32</c:v>
                </c:pt>
                <c:pt idx="1">
                  <c:v>379</c:v>
                </c:pt>
                <c:pt idx="2">
                  <c:v>53</c:v>
                </c:pt>
                <c:pt idx="3">
                  <c:v>37</c:v>
                </c:pt>
                <c:pt idx="4">
                  <c:v>93</c:v>
                </c:pt>
                <c:pt idx="5">
                  <c:v>276</c:v>
                </c:pt>
                <c:pt idx="6">
                  <c:v>98</c:v>
                </c:pt>
                <c:pt idx="7">
                  <c:v>248</c:v>
                </c:pt>
                <c:pt idx="8">
                  <c:v>5</c:v>
                </c:pt>
                <c:pt idx="9">
                  <c:v>109</c:v>
                </c:pt>
                <c:pt idx="10">
                  <c:v>85</c:v>
                </c:pt>
                <c:pt idx="11">
                  <c:v>56</c:v>
                </c:pt>
                <c:pt idx="12">
                  <c:v>45</c:v>
                </c:pt>
                <c:pt idx="13">
                  <c:v>35</c:v>
                </c:pt>
                <c:pt idx="14">
                  <c:v>16</c:v>
                </c:pt>
                <c:pt idx="15">
                  <c:v>6</c:v>
                </c:pt>
                <c:pt idx="16">
                  <c:v>5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7-415E-A3E8-033009015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139519"/>
        <c:axId val="1540139999"/>
      </c:barChart>
      <c:catAx>
        <c:axId val="154013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0139999"/>
        <c:crosses val="autoZero"/>
        <c:auto val="1"/>
        <c:lblAlgn val="ctr"/>
        <c:lblOffset val="100"/>
        <c:noMultiLvlLbl val="0"/>
      </c:catAx>
      <c:valAx>
        <c:axId val="154013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013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[Montgomery_Fleet_Equipment_Inventory_FA_PART_2_END.xlsx]Pivot Table 3!Tabella pivot3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3'!$B$1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 3'!$A$2:$A$19</c:f>
              <c:multiLvlStrCache>
                <c:ptCount val="16"/>
                <c:lvl>
                  <c:pt idx="0">
                    <c:v>Technology Services</c:v>
                  </c:pt>
                  <c:pt idx="1">
                    <c:v>Transportation</c:v>
                  </c:pt>
                  <c:pt idx="2">
                    <c:v>Permitting Services</c:v>
                  </c:pt>
                </c:lvl>
                <c:lvl>
                  <c:pt idx="0">
                    <c:v>CUV</c:v>
                  </c:pt>
                  <c:pt idx="3">
                    <c:v>Heavy Duty</c:v>
                  </c:pt>
                  <c:pt idx="4">
                    <c:v>Medium Duty</c:v>
                  </c:pt>
                  <c:pt idx="5">
                    <c:v>Off Road Vehicle Equipment</c:v>
                  </c:pt>
                  <c:pt idx="6">
                    <c:v>Pick Up Trucks</c:v>
                  </c:pt>
                  <c:pt idx="7">
                    <c:v>Public Safety CUV</c:v>
                  </c:pt>
                  <c:pt idx="8">
                    <c:v>Public Safety Pick Up Trucks</c:v>
                  </c:pt>
                  <c:pt idx="9">
                    <c:v>Public Safety Sedan</c:v>
                  </c:pt>
                  <c:pt idx="10">
                    <c:v>Public Safety SUV</c:v>
                  </c:pt>
                  <c:pt idx="11">
                    <c:v>Public Safety Van</c:v>
                  </c:pt>
                  <c:pt idx="12">
                    <c:v>Sedan</c:v>
                  </c:pt>
                  <c:pt idx="13">
                    <c:v>SUV</c:v>
                  </c:pt>
                  <c:pt idx="14">
                    <c:v>Transit Bus</c:v>
                  </c:pt>
                  <c:pt idx="15">
                    <c:v>Van</c:v>
                  </c:pt>
                </c:lvl>
              </c:multiLvlStrCache>
            </c:multiLvlStrRef>
          </c:cat>
          <c:val>
            <c:numRef>
              <c:f>'Pivot Table 3'!$B$2:$B$19</c:f>
              <c:numCache>
                <c:formatCode>General</c:formatCode>
                <c:ptCount val="16"/>
                <c:pt idx="0">
                  <c:v>1</c:v>
                </c:pt>
                <c:pt idx="1">
                  <c:v>5</c:v>
                </c:pt>
                <c:pt idx="2">
                  <c:v>9</c:v>
                </c:pt>
                <c:pt idx="3">
                  <c:v>290</c:v>
                </c:pt>
                <c:pt idx="4">
                  <c:v>100</c:v>
                </c:pt>
                <c:pt idx="5">
                  <c:v>283</c:v>
                </c:pt>
                <c:pt idx="6">
                  <c:v>150</c:v>
                </c:pt>
                <c:pt idx="7">
                  <c:v>4</c:v>
                </c:pt>
                <c:pt idx="8">
                  <c:v>1</c:v>
                </c:pt>
                <c:pt idx="9">
                  <c:v>47</c:v>
                </c:pt>
                <c:pt idx="10">
                  <c:v>20</c:v>
                </c:pt>
                <c:pt idx="11">
                  <c:v>8</c:v>
                </c:pt>
                <c:pt idx="12">
                  <c:v>130</c:v>
                </c:pt>
                <c:pt idx="13">
                  <c:v>90</c:v>
                </c:pt>
                <c:pt idx="14">
                  <c:v>379</c:v>
                </c:pt>
                <c:pt idx="1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5-4DA9-8B04-89F23028B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395791"/>
        <c:axId val="1549390991"/>
      </c:barChart>
      <c:catAx>
        <c:axId val="154939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9390991"/>
        <c:crosses val="autoZero"/>
        <c:auto val="1"/>
        <c:lblAlgn val="ctr"/>
        <c:lblOffset val="100"/>
        <c:noMultiLvlLbl val="0"/>
      </c:catAx>
      <c:valAx>
        <c:axId val="154939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939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2</xdr:row>
      <xdr:rowOff>72390</xdr:rowOff>
    </xdr:from>
    <xdr:to>
      <xdr:col>11</xdr:col>
      <xdr:colOff>30480</xdr:colOff>
      <xdr:row>17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C800117-565F-53F9-9082-2E67C0C5A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0</xdr:row>
      <xdr:rowOff>110490</xdr:rowOff>
    </xdr:from>
    <xdr:to>
      <xdr:col>13</xdr:col>
      <xdr:colOff>205740</xdr:colOff>
      <xdr:row>23</xdr:row>
      <xdr:rowOff>91440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4B1248F-DF32-AE7D-331C-B0D083CF5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41910</xdr:rowOff>
    </xdr:from>
    <xdr:to>
      <xdr:col>10</xdr:col>
      <xdr:colOff>335280</xdr:colOff>
      <xdr:row>16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6F8AA2D-2176-246E-0E9E-A4387BAA9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Chiari" refreshedDate="46300.649545486114" createdVersion="8" refreshedVersion="8" minRefreshableVersion="3" recordCount="49" xr:uid="{342569C1-54B9-4134-9197-570D56A709D2}">
  <cacheSource type="worksheet">
    <worksheetSource name="Tabella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00483-5C67-4ADD-B39C-FE1C797211A6}" name="Tabella pivot1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1:C14" firstHeaderRow="0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Equipment Count" fld="2" baseField="0" baseItem="0"/>
    <dataField name="Somma di Equipment Count2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183D4-C5D3-4749-9E7A-4AD334A1072C}" name="Tabella pivot2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1:B24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5">
        <item x="3"/>
        <item x="13"/>
        <item x="1"/>
        <item x="2"/>
        <item x="9"/>
        <item x="8"/>
        <item x="11"/>
        <item x="12"/>
        <item x="10"/>
        <item x="0"/>
        <item x="7"/>
        <item x="4"/>
        <item x="5"/>
        <item x="6"/>
        <item t="default"/>
      </items>
    </pivotField>
    <pivotField dataField="1" showAll="0"/>
  </pivotFields>
  <rowFields count="2">
    <field x="0"/>
    <field x="1"/>
  </rowFields>
  <rowItems count="23">
    <i>
      <x v="11"/>
    </i>
    <i r="1">
      <x/>
    </i>
    <i r="1">
      <x v="1"/>
    </i>
    <i r="1">
      <x v="2"/>
    </i>
    <i r="1">
      <x v="3"/>
    </i>
    <i r="1">
      <x v="9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 r="1">
      <x v="2"/>
    </i>
    <i>
      <x v="6"/>
    </i>
    <i t="grand">
      <x/>
    </i>
  </rowItems>
  <colItems count="1">
    <i/>
  </colItems>
  <dataFields count="1">
    <dataField name="Somma di Equipment Count" fld="2" baseField="0" baseItem="0"/>
  </dataFields>
  <formats count="1">
    <format dxfId="5">
      <pivotArea dataOnly="0" labelOnly="1" fieldPosition="0">
        <references count="1">
          <reference field="0" count="1">
            <x v="1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8766B-4757-4C5B-A252-4A081B0A7F16}" name="Tabella pivot3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1:B19" firstHeaderRow="1" firstDataRow="1" firstDataCol="1"/>
  <pivotFields count="3"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10"/>
    </i>
    <i r="1">
      <x v="11"/>
    </i>
    <i r="1">
      <x v="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ma di Equipment Count" fld="2" baseField="0" baseItem="0"/>
  </dataFields>
  <formats count="1">
    <format dxfId="1">
      <pivotArea collapsedLevelsAreSubtotals="1" fieldPosition="0">
        <references count="1">
          <reference field="1" count="1">
            <x v="4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67A91-DA9A-4C7D-BE68-FB0E9F9B4B1C}" name="Tabella1" displayName="Tabella1" ref="A1:C50" totalsRowShown="0" totalsRowCellStyle="Colore 1">
  <autoFilter ref="A1:C50" xr:uid="{D1467A91-DA9A-4C7D-BE68-FB0E9F9B4B1C}"/>
  <tableColumns count="3">
    <tableColumn id="1" xr3:uid="{64D06D79-0CD9-4A0C-945D-D50FBAA18509}" name="Department" totalsRowCellStyle="Colore 1"/>
    <tableColumn id="2" xr3:uid="{18AF70EC-A07F-4508-B59B-ECB9379ED549}" name="Equipment Class" totalsRowCellStyle="Colore 1"/>
    <tableColumn id="3" xr3:uid="{111E5E93-217A-45D4-920B-E7DFD0DA378F}" name="Equipment Count" totalsRowCellStyle="Colore 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workbookViewId="0">
      <selection activeCell="C52" sqref="C52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2" spans="1:3" ht="15" thickBot="1" x14ac:dyDescent="0.35">
      <c r="A52" s="1" t="s">
        <v>29</v>
      </c>
      <c r="B52" s="1"/>
      <c r="C52" s="2">
        <f>SUM(Tabella1[Equipment Count])</f>
        <v>1582</v>
      </c>
    </row>
    <row r="53" spans="1:3" ht="15.6" thickTop="1" thickBot="1" x14ac:dyDescent="0.35">
      <c r="A53" s="1" t="s">
        <v>31</v>
      </c>
      <c r="B53" s="1"/>
      <c r="C53" s="1">
        <f>AVERAGE(C2:C50)</f>
        <v>32.285714285714285</v>
      </c>
    </row>
    <row r="54" spans="1:3" ht="15.6" thickTop="1" thickBot="1" x14ac:dyDescent="0.35">
      <c r="A54" s="1" t="s">
        <v>30</v>
      </c>
      <c r="B54" s="1"/>
      <c r="C54" s="1">
        <f>COUNT(C2:C50)</f>
        <v>49</v>
      </c>
    </row>
    <row r="55" spans="1:3" ht="15.6" thickTop="1" thickBot="1" x14ac:dyDescent="0.35">
      <c r="A55" s="1" t="s">
        <v>32</v>
      </c>
      <c r="B55" s="1"/>
      <c r="C55" s="1">
        <f>MIN(C2:C50)</f>
        <v>1</v>
      </c>
    </row>
    <row r="56" spans="1:3" ht="15.6" thickTop="1" thickBot="1" x14ac:dyDescent="0.35">
      <c r="A56" s="1" t="s">
        <v>33</v>
      </c>
      <c r="B56" s="1"/>
      <c r="C56" s="1">
        <f>MAX(C2:C50)</f>
        <v>379</v>
      </c>
    </row>
    <row r="57" spans="1:3" ht="15" thickTop="1" x14ac:dyDescent="0.3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0566-2C69-4141-9BC1-B6F8DA206A49}">
  <dimension ref="A1:C19"/>
  <sheetViews>
    <sheetView workbookViewId="0">
      <selection activeCell="C31" sqref="C31"/>
    </sheetView>
  </sheetViews>
  <sheetFormatPr defaultRowHeight="14.4" x14ac:dyDescent="0.3"/>
  <cols>
    <col min="1" max="1" width="26.88671875" bestFit="1" customWidth="1"/>
    <col min="2" max="2" width="25" bestFit="1" customWidth="1"/>
    <col min="3" max="3" width="26.109375" bestFit="1" customWidth="1"/>
  </cols>
  <sheetData>
    <row r="1" spans="1:3" x14ac:dyDescent="0.3">
      <c r="A1" s="3" t="s">
        <v>34</v>
      </c>
      <c r="B1" t="s">
        <v>36</v>
      </c>
      <c r="C1" t="s">
        <v>37</v>
      </c>
    </row>
    <row r="2" spans="1:3" x14ac:dyDescent="0.3">
      <c r="A2" s="4" t="s">
        <v>26</v>
      </c>
      <c r="B2" s="5">
        <v>1221</v>
      </c>
      <c r="C2" s="5">
        <v>1221</v>
      </c>
    </row>
    <row r="3" spans="1:3" x14ac:dyDescent="0.3">
      <c r="A3" s="4" t="s">
        <v>15</v>
      </c>
      <c r="B3" s="5">
        <v>109</v>
      </c>
      <c r="C3" s="5">
        <v>109</v>
      </c>
    </row>
    <row r="4" spans="1:3" x14ac:dyDescent="0.3">
      <c r="A4" s="4" t="s">
        <v>19</v>
      </c>
      <c r="B4" s="5">
        <v>85</v>
      </c>
      <c r="C4" s="5">
        <v>85</v>
      </c>
    </row>
    <row r="5" spans="1:3" x14ac:dyDescent="0.3">
      <c r="A5" s="4" t="s">
        <v>12</v>
      </c>
      <c r="B5" s="5">
        <v>56</v>
      </c>
      <c r="C5" s="5">
        <v>56</v>
      </c>
    </row>
    <row r="6" spans="1:3" x14ac:dyDescent="0.3">
      <c r="A6" s="4" t="s">
        <v>5</v>
      </c>
      <c r="B6" s="5">
        <v>45</v>
      </c>
      <c r="C6" s="5">
        <v>45</v>
      </c>
    </row>
    <row r="7" spans="1:3" x14ac:dyDescent="0.3">
      <c r="A7" s="4" t="s">
        <v>18</v>
      </c>
      <c r="B7" s="5">
        <v>35</v>
      </c>
      <c r="C7" s="5">
        <v>35</v>
      </c>
    </row>
    <row r="8" spans="1:3" x14ac:dyDescent="0.3">
      <c r="A8" s="4" t="s">
        <v>25</v>
      </c>
      <c r="B8" s="5">
        <v>16</v>
      </c>
      <c r="C8" s="5">
        <v>16</v>
      </c>
    </row>
    <row r="9" spans="1:3" x14ac:dyDescent="0.3">
      <c r="A9" s="4" t="s">
        <v>9</v>
      </c>
      <c r="B9" s="5">
        <v>6</v>
      </c>
      <c r="C9" s="5">
        <v>6</v>
      </c>
    </row>
    <row r="10" spans="1:3" x14ac:dyDescent="0.3">
      <c r="A10" s="4" t="s">
        <v>24</v>
      </c>
      <c r="B10" s="5">
        <v>5</v>
      </c>
      <c r="C10" s="5">
        <v>5</v>
      </c>
    </row>
    <row r="11" spans="1:3" x14ac:dyDescent="0.3">
      <c r="A11" s="4" t="s">
        <v>8</v>
      </c>
      <c r="B11" s="5">
        <v>2</v>
      </c>
      <c r="C11" s="5">
        <v>2</v>
      </c>
    </row>
    <row r="12" spans="1:3" x14ac:dyDescent="0.3">
      <c r="A12" s="4" t="s">
        <v>14</v>
      </c>
      <c r="B12" s="5">
        <v>1</v>
      </c>
      <c r="C12" s="5">
        <v>1</v>
      </c>
    </row>
    <row r="13" spans="1:3" x14ac:dyDescent="0.3">
      <c r="A13" s="4" t="s">
        <v>17</v>
      </c>
      <c r="B13" s="5">
        <v>1</v>
      </c>
      <c r="C13" s="5">
        <v>1</v>
      </c>
    </row>
    <row r="14" spans="1:3" x14ac:dyDescent="0.3">
      <c r="A14" s="4" t="s">
        <v>35</v>
      </c>
      <c r="B14" s="5">
        <v>1582</v>
      </c>
      <c r="C14" s="5">
        <v>1582</v>
      </c>
    </row>
    <row r="19" spans="3:3" x14ac:dyDescent="0.3">
      <c r="C19" s="6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64E7-FCA6-4B4F-939D-2902CC47CBD4}">
  <dimension ref="A1:H28"/>
  <sheetViews>
    <sheetView workbookViewId="0">
      <selection activeCell="D31" sqref="D31"/>
    </sheetView>
  </sheetViews>
  <sheetFormatPr defaultRowHeight="14.4" x14ac:dyDescent="0.3"/>
  <cols>
    <col min="1" max="1" width="30.109375" bestFit="1" customWidth="1"/>
    <col min="2" max="2" width="25" bestFit="1" customWidth="1"/>
    <col min="3" max="3" width="26.109375" bestFit="1" customWidth="1"/>
  </cols>
  <sheetData>
    <row r="1" spans="1:2" x14ac:dyDescent="0.3">
      <c r="A1" s="3" t="s">
        <v>34</v>
      </c>
      <c r="B1" t="s">
        <v>36</v>
      </c>
    </row>
    <row r="2" spans="1:2" x14ac:dyDescent="0.3">
      <c r="A2" s="8" t="s">
        <v>26</v>
      </c>
      <c r="B2" s="5">
        <v>1221</v>
      </c>
    </row>
    <row r="3" spans="1:2" x14ac:dyDescent="0.3">
      <c r="A3" s="7" t="s">
        <v>10</v>
      </c>
      <c r="B3" s="5">
        <v>32</v>
      </c>
    </row>
    <row r="4" spans="1:2" x14ac:dyDescent="0.3">
      <c r="A4" s="7" t="s">
        <v>27</v>
      </c>
      <c r="B4" s="5">
        <v>379</v>
      </c>
    </row>
    <row r="5" spans="1:2" x14ac:dyDescent="0.3">
      <c r="A5" s="7" t="s">
        <v>7</v>
      </c>
      <c r="B5" s="5">
        <v>53</v>
      </c>
    </row>
    <row r="6" spans="1:2" x14ac:dyDescent="0.3">
      <c r="A6" s="7" t="s">
        <v>4</v>
      </c>
      <c r="B6" s="5">
        <v>37</v>
      </c>
    </row>
    <row r="7" spans="1:2" x14ac:dyDescent="0.3">
      <c r="A7" s="7" t="s">
        <v>6</v>
      </c>
      <c r="B7" s="5">
        <v>93</v>
      </c>
    </row>
    <row r="8" spans="1:2" x14ac:dyDescent="0.3">
      <c r="A8" s="7" t="s">
        <v>28</v>
      </c>
      <c r="B8" s="5">
        <v>276</v>
      </c>
    </row>
    <row r="9" spans="1:2" x14ac:dyDescent="0.3">
      <c r="A9" s="7" t="s">
        <v>11</v>
      </c>
      <c r="B9" s="5">
        <v>98</v>
      </c>
    </row>
    <row r="10" spans="1:2" x14ac:dyDescent="0.3">
      <c r="A10" s="7" t="s">
        <v>13</v>
      </c>
      <c r="B10" s="5">
        <v>248</v>
      </c>
    </row>
    <row r="11" spans="1:2" x14ac:dyDescent="0.3">
      <c r="A11" s="7" t="s">
        <v>16</v>
      </c>
      <c r="B11" s="5">
        <v>5</v>
      </c>
    </row>
    <row r="12" spans="1:2" x14ac:dyDescent="0.3">
      <c r="A12" s="4" t="s">
        <v>15</v>
      </c>
      <c r="B12" s="5">
        <v>109</v>
      </c>
    </row>
    <row r="13" spans="1:2" x14ac:dyDescent="0.3">
      <c r="A13" s="4" t="s">
        <v>19</v>
      </c>
      <c r="B13" s="5">
        <v>85</v>
      </c>
    </row>
    <row r="14" spans="1:2" x14ac:dyDescent="0.3">
      <c r="A14" s="4" t="s">
        <v>12</v>
      </c>
      <c r="B14" s="5">
        <v>56</v>
      </c>
    </row>
    <row r="15" spans="1:2" x14ac:dyDescent="0.3">
      <c r="A15" s="4" t="s">
        <v>5</v>
      </c>
      <c r="B15" s="5">
        <v>45</v>
      </c>
    </row>
    <row r="16" spans="1:2" x14ac:dyDescent="0.3">
      <c r="A16" s="4" t="s">
        <v>18</v>
      </c>
      <c r="B16" s="5">
        <v>35</v>
      </c>
    </row>
    <row r="17" spans="1:8" x14ac:dyDescent="0.3">
      <c r="A17" s="4" t="s">
        <v>25</v>
      </c>
      <c r="B17" s="5">
        <v>16</v>
      </c>
    </row>
    <row r="18" spans="1:8" x14ac:dyDescent="0.3">
      <c r="A18" s="4" t="s">
        <v>9</v>
      </c>
      <c r="B18" s="5">
        <v>6</v>
      </c>
    </row>
    <row r="19" spans="1:8" x14ac:dyDescent="0.3">
      <c r="A19" s="4" t="s">
        <v>24</v>
      </c>
      <c r="B19" s="5">
        <v>5</v>
      </c>
    </row>
    <row r="20" spans="1:8" x14ac:dyDescent="0.3">
      <c r="A20" s="4" t="s">
        <v>8</v>
      </c>
      <c r="B20" s="5">
        <v>2</v>
      </c>
    </row>
    <row r="21" spans="1:8" x14ac:dyDescent="0.3">
      <c r="A21" s="4" t="s">
        <v>14</v>
      </c>
      <c r="B21" s="5">
        <v>1</v>
      </c>
    </row>
    <row r="22" spans="1:8" x14ac:dyDescent="0.3">
      <c r="A22" s="7" t="s">
        <v>7</v>
      </c>
      <c r="B22" s="5">
        <v>1</v>
      </c>
    </row>
    <row r="23" spans="1:8" x14ac:dyDescent="0.3">
      <c r="A23" s="4" t="s">
        <v>17</v>
      </c>
      <c r="B23" s="5">
        <v>1</v>
      </c>
    </row>
    <row r="24" spans="1:8" x14ac:dyDescent="0.3">
      <c r="A24" s="4" t="s">
        <v>35</v>
      </c>
      <c r="B24" s="5">
        <v>1582</v>
      </c>
    </row>
    <row r="28" spans="1:8" x14ac:dyDescent="0.3">
      <c r="H28" s="6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3F86-10AC-4811-8332-EF0FF8E47247}">
  <dimension ref="A1:B19"/>
  <sheetViews>
    <sheetView tabSelected="1" workbookViewId="0">
      <selection activeCell="B9" sqref="B9"/>
    </sheetView>
  </sheetViews>
  <sheetFormatPr defaultRowHeight="14.4" x14ac:dyDescent="0.3"/>
  <cols>
    <col min="1" max="1" width="27" bestFit="1" customWidth="1"/>
    <col min="2" max="2" width="25" bestFit="1" customWidth="1"/>
  </cols>
  <sheetData>
    <row r="1" spans="1:2" x14ac:dyDescent="0.3">
      <c r="A1" s="3" t="s">
        <v>34</v>
      </c>
      <c r="B1" t="s">
        <v>36</v>
      </c>
    </row>
    <row r="2" spans="1:2" x14ac:dyDescent="0.3">
      <c r="A2" s="4" t="s">
        <v>16</v>
      </c>
      <c r="B2" s="5">
        <v>15</v>
      </c>
    </row>
    <row r="3" spans="1:2" x14ac:dyDescent="0.3">
      <c r="A3" s="7" t="s">
        <v>25</v>
      </c>
      <c r="B3" s="5">
        <v>1</v>
      </c>
    </row>
    <row r="4" spans="1:2" x14ac:dyDescent="0.3">
      <c r="A4" s="7" t="s">
        <v>26</v>
      </c>
      <c r="B4" s="5">
        <v>5</v>
      </c>
    </row>
    <row r="5" spans="1:2" x14ac:dyDescent="0.3">
      <c r="A5" s="7" t="s">
        <v>15</v>
      </c>
      <c r="B5" s="5">
        <v>9</v>
      </c>
    </row>
    <row r="6" spans="1:2" x14ac:dyDescent="0.3">
      <c r="A6" s="4" t="s">
        <v>13</v>
      </c>
      <c r="B6" s="5">
        <v>290</v>
      </c>
    </row>
    <row r="7" spans="1:2" x14ac:dyDescent="0.3">
      <c r="A7" s="4" t="s">
        <v>11</v>
      </c>
      <c r="B7" s="5">
        <v>100</v>
      </c>
    </row>
    <row r="8" spans="1:2" x14ac:dyDescent="0.3">
      <c r="A8" s="4" t="s">
        <v>28</v>
      </c>
      <c r="B8" s="5">
        <v>283</v>
      </c>
    </row>
    <row r="9" spans="1:2" x14ac:dyDescent="0.3">
      <c r="A9" s="4" t="s">
        <v>6</v>
      </c>
      <c r="B9" s="9">
        <v>150</v>
      </c>
    </row>
    <row r="10" spans="1:2" x14ac:dyDescent="0.3">
      <c r="A10" s="4" t="s">
        <v>21</v>
      </c>
      <c r="B10" s="5">
        <v>4</v>
      </c>
    </row>
    <row r="11" spans="1:2" x14ac:dyDescent="0.3">
      <c r="A11" s="4" t="s">
        <v>23</v>
      </c>
      <c r="B11" s="5">
        <v>1</v>
      </c>
    </row>
    <row r="12" spans="1:2" x14ac:dyDescent="0.3">
      <c r="A12" s="4" t="s">
        <v>22</v>
      </c>
      <c r="B12" s="5">
        <v>47</v>
      </c>
    </row>
    <row r="13" spans="1:2" x14ac:dyDescent="0.3">
      <c r="A13" s="4" t="s">
        <v>3</v>
      </c>
      <c r="B13" s="5">
        <v>20</v>
      </c>
    </row>
    <row r="14" spans="1:2" x14ac:dyDescent="0.3">
      <c r="A14" s="4" t="s">
        <v>20</v>
      </c>
      <c r="B14" s="5">
        <v>8</v>
      </c>
    </row>
    <row r="15" spans="1:2" x14ac:dyDescent="0.3">
      <c r="A15" s="4" t="s">
        <v>4</v>
      </c>
      <c r="B15" s="5">
        <v>130</v>
      </c>
    </row>
    <row r="16" spans="1:2" x14ac:dyDescent="0.3">
      <c r="A16" s="4" t="s">
        <v>7</v>
      </c>
      <c r="B16" s="5">
        <v>90</v>
      </c>
    </row>
    <row r="17" spans="1:2" x14ac:dyDescent="0.3">
      <c r="A17" s="4" t="s">
        <v>27</v>
      </c>
      <c r="B17" s="5">
        <v>379</v>
      </c>
    </row>
    <row r="18" spans="1:2" x14ac:dyDescent="0.3">
      <c r="A18" s="4" t="s">
        <v>10</v>
      </c>
      <c r="B18" s="5">
        <v>65</v>
      </c>
    </row>
    <row r="19" spans="1:2" x14ac:dyDescent="0.3">
      <c r="A19" s="4" t="s">
        <v>35</v>
      </c>
      <c r="B19" s="5">
        <v>1582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Chiari</dc:creator>
  <cp:lastModifiedBy>Christian Chiari</cp:lastModifiedBy>
  <dcterms:created xsi:type="dcterms:W3CDTF">2020-09-01T17:18:12Z</dcterms:created>
  <dcterms:modified xsi:type="dcterms:W3CDTF">2026-10-05T13:44:01Z</dcterms:modified>
</cp:coreProperties>
</file>